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dump" sheetId="1" state="visible" r:id="rId3"/>
    <sheet name="Proportion model" sheetId="2" state="visible" r:id="rId4"/>
    <sheet name="Assumptions" sheetId="3" state="visible" r:id="rId5"/>
    <sheet name="3-rule gate" sheetId="4" state="visible" r:id="rId6"/>
    <sheet name="Recommendation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<sst xmlns="http://schemas.openxmlformats.org/spreadsheetml/2006/main" count="200" uniqueCount="168">
  <si>
    <t xml:space="preserve">Source workbook snapshot</t>
  </si>
  <si>
    <t xml:space="preserve">Sheet: Gemini สรุป</t>
  </si>
  <si>
    <t xml:space="preserve">สารออกฤทธิ์ (Active Ingredients)</t>
  </si>
  <si>
    <t xml:space="preserve">ปริมาณ / 100 ml</t>
  </si>
  <si>
    <t xml:space="preserve">200 ml.</t>
  </si>
  <si>
    <t xml:space="preserve">กลไกการออกฤทธิ์และเหตุผลทางชีวเคมี (Physiological Function)</t>
  </si>
  <si>
    <t xml:space="preserve">MCT Oil</t>
  </si>
  <si>
    <t xml:space="preserve">40.0 ml</t>
  </si>
  <si>
    <t xml:space="preserve">พลังงานหลัก (Direct Portal Absorption) ดูดซึมตรงเข้าตับ แปลงเป็นพลังงานภายใน &lt;20 นาที</t>
  </si>
  <si>
    <t xml:space="preserve">D-Ribose</t>
  </si>
  <si>
    <t xml:space="preserve">6.0 g</t>
  </si>
  <si>
    <t xml:space="preserve">สารตั้งต้นหลักในการสังเคราะห์พลังงาน ATP สำหรับกล้ามเนื้อกระตุกเร็ว (Fast-twitch fiber)</t>
  </si>
  <si>
    <t xml:space="preserve">Citrulline Malate (2:1)</t>
  </si>
  <si>
    <t xml:space="preserve">3.0 g</t>
  </si>
  <si>
    <t xml:space="preserve">เร่งวงจร Urea Cycle ขับแอมโมเนีย/ลดกรดแลคติก และเติม Malate เข้าวงจร Krebs Cycle</t>
  </si>
  <si>
    <t xml:space="preserve">Beta alanine</t>
  </si>
  <si>
    <t xml:space="preserve">N,N-Dimethylglycine (DMG HCl)</t>
  </si>
  <si>
    <t xml:space="preserve">[สารเสริม] บูสต์การดึงออกซิเจนเข้าเซลล์กล้ามเนื้อ (Oxygen Uptake) และสนับสนุนการทำงานของตับ</t>
  </si>
  <si>
    <t xml:space="preserve">L-Carnitine L-Tartrate</t>
  </si>
  <si>
    <t xml:space="preserve">2.0 g</t>
  </si>
  <si>
    <t xml:space="preserve">ตัวพากรดไขมัน (MCT) เข้าสู่ไมโทคอนเดรียเพื่อกระบวนการ Beta-oxidation</t>
  </si>
  <si>
    <t xml:space="preserve">Sodium Citrate</t>
  </si>
  <si>
    <t xml:space="preserve">2.5 g</t>
  </si>
  <si>
    <t xml:space="preserve">อิเล็กโทรไลต์ชดเชยน้ำ ทำหน้าที่เป็น Systemic Buffer คุมกรดแลคติกในเลือด</t>
  </si>
  <si>
    <t xml:space="preserve">Potassium Citrate</t>
  </si>
  <si>
    <t xml:space="preserve">0.8 g</t>
  </si>
  <si>
    <t xml:space="preserve">รักษาสมดุลโพแทสเซียมในเซลล์กล้ามเนื้อ และช่วยคุมกรดแลคติก</t>
  </si>
  <si>
    <t xml:space="preserve">Magnesium Chloride (MgCl2)</t>
  </si>
  <si>
    <t xml:space="preserve">[สารเสริม] ให้ Mg จับกับ ATP ปลดปล่อยพลังงาน และให้ Chloride คุมภาวะด่างจากการหอบ</t>
  </si>
  <si>
    <t xml:space="preserve">Sodium Ascorbate</t>
  </si>
  <si>
    <t xml:space="preserve">วิตามินซีฟอร์มเกลือ (ต้านอนุมูลอิสระและลดความเครียดระดับเซลล์)</t>
  </si>
  <si>
    <t xml:space="preserve">Taurine</t>
  </si>
  <si>
    <t xml:space="preserve">1.5 g</t>
  </si>
  <si>
    <t xml:space="preserve">ควบคุมแคลเซียมไอออนในกล้ามเนื้อหัวใจ รักษาสมดุลการบีบตัวไม่ให้หัวใจวาย</t>
  </si>
  <si>
    <t xml:space="preserve">Vit B complex (cc)</t>
  </si>
  <si>
    <t xml:space="preserve">โคเอนไซม์สำคัญในการเผาผลาญไขมัน (บังคับใช้หน่วยเป็นไมโครกรัม/mcg เท่านั้น)</t>
  </si>
  <si>
    <t xml:space="preserve">Glycerin</t>
  </si>
  <si>
    <t xml:space="preserve">3.0 ml</t>
  </si>
  <si>
    <t xml:space="preserve">ตัวทำละลาย (Carrier) สำหรับกลุ่มสารให้ความหนืด (Gum)</t>
  </si>
  <si>
    <t xml:space="preserve">Xanthan Gum</t>
  </si>
  <si>
    <t xml:space="preserve">0.10 g</t>
  </si>
  <si>
    <t xml:space="preserve">[ปรับลด] ปรับลดเพื่อให้ของเหลวไม่หนืดเกินไป เหมาะกับการดูดใส่ไซริงค์</t>
  </si>
  <si>
    <t xml:space="preserve">Guar Gum</t>
  </si>
  <si>
    <t xml:space="preserve">[ปรับลด] ทำงานร่วมกับ Xanthan Gum เพื่อคงสภาพ Emulsion โดยไม่ทำให้หนืดคอ</t>
  </si>
  <si>
    <t xml:space="preserve">Tween80  (cc)</t>
  </si>
  <si>
    <t xml:space="preserve">ผสานชั้นน้ำและน้ำมัน (O/W Emulsion) ให้เสถียร</t>
  </si>
  <si>
    <t xml:space="preserve">Lecithin Liquid  (cc)</t>
  </si>
  <si>
    <t xml:space="preserve">กันบูด</t>
  </si>
  <si>
    <t xml:space="preserve">ปรับปริมาตรของเหลวให้ครบ 100 ml</t>
  </si>
  <si>
    <t xml:space="preserve">Sheet: 30% MCT</t>
  </si>
  <si>
    <t xml:space="preserve">กลไกการออกฤทธิ์ที่อัปเดตตามสัดส่วนใหม่</t>
  </si>
  <si>
    <t xml:space="preserve">30.0 ml</t>
  </si>
  <si>
    <t xml:space="preserve">[ปรับลด] ให้ความเหลวดูดง่ายขึ้น แต่ยังให้แคลอรี่ที่เพียงพอต่อการตี 6 ยก</t>
  </si>
  <si>
    <t xml:space="preserve">10.0 g</t>
  </si>
  <si>
    <t xml:space="preserve">[ปรับเพิ่ม] ชนเพดานสูงสุดของการสร้าง ATP แบบเฉียบพลัน (Hyper-ATP Resynthesis)</t>
  </si>
  <si>
    <t xml:space="preserve">เร่งวงจร Urea Cycle ขับแอมโมเนีย/ลดกรดแลคติก</t>
  </si>
  <si>
    <t xml:space="preserve">บูสต์การดึงออกซิเจนเข้าเซลล์กล้ามเนื้อ (Oxygen Uptake) ป้องกันไก่หอบลึก</t>
  </si>
  <si>
    <t xml:space="preserve">ดึง MCT เข้าสู่ไมโตรคอนเดรีย เร่งการเผาผลาญให้ไขมัน 30% ออกฤทธิ์ได้เทียบเท่า 40%</t>
  </si>
  <si>
    <t xml:space="preserve">อิเล็กโทรไลต์ชดเชยน้ำ ทำหน้าที่เป็น Systemic Buffer คุมกรดแลคติก</t>
  </si>
  <si>
    <t xml:space="preserve">รักษาสมดุลโพแทสเซียม ป้องกันตะคริวในกล้ามเนื้อปีกและขา</t>
  </si>
  <si>
    <t xml:space="preserve">ให้ Mg จับกับ ATP 10% ที่สร้างขึ้นใหม่ เพื่อปลดปล่อยเป็นพลังงานตี</t>
  </si>
  <si>
    <t xml:space="preserve">ต้านอนุมูลอิสระ (Vitamin C) ลดความเครียดระดับเซลล์</t>
  </si>
  <si>
    <t xml:space="preserve">คุมจังหวะหัวใจ ป้องกันหัวใจวายจากการสูบฉีดเลือดอย่างหนัก</t>
  </si>
  <si>
    <t xml:space="preserve">Vitamin B12</t>
  </si>
  <si>
    <t xml:space="preserve">500 mcg</t>
  </si>
  <si>
    <t xml:space="preserve">โคเอนไซม์จุดระเบิดการเผาผลาญไขมัน (ใส่เป็นหน่วย ไมโครกรัม)</t>
  </si>
  <si>
    <t xml:space="preserve">ตัวละลาย Gum ป้องกันการจับตัวเป็นก้อน</t>
  </si>
  <si>
    <t xml:space="preserve">[ล็อกปริมาณ] คุมที่ 0.10g ต่อ 100ml (หรือ 0.20g ต่อ 200ml) เพื่อไม่ให้เป็นเจลหนืด</t>
  </si>
  <si>
    <t xml:space="preserve">[ล็อกปริมาณ] ทำงานคู่กับ Xanthan เพื่ออุ้มอิมัลชัน 30% ให้เสถียร</t>
  </si>
  <si>
    <t xml:space="preserve">Tween 80</t>
  </si>
  <si>
    <t xml:space="preserve">2.0 ml</t>
  </si>
  <si>
    <t xml:space="preserve">ตัวผสานน้ำกับน้ำมัน (ปรับลดลงครึ่งหนึ่งจากสูตร 200ml ของคุณ)</t>
  </si>
  <si>
    <t xml:space="preserve">Lecithin Liquid</t>
  </si>
  <si>
    <t xml:space="preserve">5.0 ml</t>
  </si>
  <si>
    <t xml:space="preserve">ตัวผสานหลัก (ปรับลดลงครึ่งหนึ่งจากสูตร 200ml ของคุณ)</t>
  </si>
  <si>
    <t xml:space="preserve">สารกันบูด</t>
  </si>
  <si>
    <t xml:space="preserve">1.25 g</t>
  </si>
  <si>
    <t xml:space="preserve">ป้องกันเชื้อราและแบคทีเรีย (ตามสัดส่วนที่คุณเคยใช้หารครึ่งสำหรับ 100ml)</t>
  </si>
  <si>
    <t xml:space="preserve">Distilled Water (น้ำกลั่น)</t>
  </si>
  <si>
    <t xml:space="preserve">เติมจนครบ 100ml</t>
  </si>
  <si>
    <t xml:space="preserve">พื้นที่น้ำจะเพิ่มขึ้น ช่วยละลาย D-Ribose 10g ให้ใสแจ๋ว</t>
  </si>
  <si>
    <t xml:space="preserve">Variant</t>
  </si>
  <si>
    <t xml:space="preserve">MCT oil (mL/100mL)</t>
  </si>
  <si>
    <t xml:space="preserve">D-ribose (g/100mL)</t>
  </si>
  <si>
    <t xml:space="preserve">LCLT (g/100mL)</t>
  </si>
  <si>
    <t xml:space="preserve">MCT vol %</t>
  </si>
  <si>
    <t xml:space="preserve">Ribose mg/mL</t>
  </si>
  <si>
    <t xml:space="preserve">LCLT mg/mL</t>
  </si>
  <si>
    <t xml:space="preserve">Dose mL</t>
  </si>
  <si>
    <t xml:space="preserve">MCT mL/dose</t>
  </si>
  <si>
    <t xml:space="preserve">MCT kcal/dose</t>
  </si>
  <si>
    <t xml:space="preserve">Ribose mg/dose</t>
  </si>
  <si>
    <t xml:space="preserve">LCLT mg/dose</t>
  </si>
  <si>
    <t xml:space="preserve">Carnitine base mg/dose</t>
  </si>
  <si>
    <t xml:space="preserve">Trio ratio</t>
  </si>
  <si>
    <t xml:space="preserve">Assessment</t>
  </si>
  <si>
    <t xml:space="preserve">Current 40% sheet</t>
  </si>
  <si>
    <t xml:space="preserve">High oil, lower ribose; very little water left once emulsifiers/solids are included.</t>
  </si>
  <si>
    <t xml:space="preserve">Current 30% sheet</t>
  </si>
  <si>
    <t xml:space="preserve">Better than 40% for emulsion, but ribose is pushed high while amines/Vit C are still present.</t>
  </si>
  <si>
    <t xml:space="preserve">Candidate balanced</t>
  </si>
  <si>
    <t xml:space="preserve">Best first pilot: lower oil/viscosity, meaningful ribose, LCLT not excessive for an acute liquid.</t>
  </si>
  <si>
    <t xml:space="preserve">Candidate conservative</t>
  </si>
  <si>
    <t xml:space="preserve">Lowest stability/GI risk; use if syringeability or separation is poor.</t>
  </si>
  <si>
    <t xml:space="preserve">Candidate high-energy cap</t>
  </si>
  <si>
    <t xml:space="preserve">Upper pilot only if emulsion passes 7-day heat/cool and bird tolerance tests.</t>
  </si>
  <si>
    <t xml:space="preserve">Assumption</t>
  </si>
  <si>
    <t xml:space="preserve">Value</t>
  </si>
  <si>
    <t xml:space="preserve">Note/source</t>
  </si>
  <si>
    <t xml:space="preserve">Default practical dose (mL)</t>
  </si>
  <si>
    <t xml:space="preserve">Change this cell to model per-dose delivery.</t>
  </si>
  <si>
    <t xml:space="preserve">MCT oil kcal per mL</t>
  </si>
  <si>
    <t xml:space="preserve">Approx. 8.3 kcal/mL for MCT oil; use supplier COA if available.</t>
  </si>
  <si>
    <t xml:space="preserve">LCLT carnitine-base fraction</t>
  </si>
  <si>
    <t xml:space="preserve">2 carnitine : 1 tartrate stoichiometry; some supplier labels differ by basis.</t>
  </si>
  <si>
    <t xml:space="preserve">Ribose aqueous solubility mg/mL</t>
  </si>
  <si>
    <t xml:space="preserve">Project dossier: freely soluble ~1000+ g/L; verify supplier spec.</t>
  </si>
  <si>
    <t xml:space="preserve">LCLT aqueous solubility mg/mL</t>
  </si>
  <si>
    <t xml:space="preserve">Project dossier/supplier monographs: &gt;1 g/mL.</t>
  </si>
  <si>
    <t xml:space="preserve">Taurine solubility mg/mL</t>
  </si>
  <si>
    <t xml:space="preserve">Project taurine dossier low-end at ~20C; relevant because current formula contains taurine.</t>
  </si>
  <si>
    <t xml:space="preserve">Substance</t>
  </si>
  <si>
    <t xml:space="preserve">R1 solubility / ratio</t>
  </si>
  <si>
    <t xml:space="preserve">R2 stability</t>
  </si>
  <si>
    <t xml:space="preserve">R3 conflicts</t>
  </si>
  <si>
    <t xml:space="preserve">Verdict</t>
  </si>
  <si>
    <t xml:space="preserve">MCT oil</t>
  </si>
  <si>
    <t xml:space="preserve">Not water-soluble; must be oil-in-water emulsion. At 25–30 mL/100 mL oil phase, emulsion quality—not molecular solubility—is the limit.</t>
  </si>
  <si>
    <t xml:space="preserve">Triglycerides are generally stable if protected from oxidation/light/heat; microbial risk is the aqueous phase.</t>
  </si>
  <si>
    <t xml:space="preserve">Requires emulsifier + homogenization. Too much oil + gums = viscosity/separation risk. No Maillard.</t>
  </si>
  <si>
    <t xml:space="preserve">FLAG: workable as emulsion; pilot at 20–25% before 30%.</t>
  </si>
  <si>
    <t xml:space="preserve">D-ribose</t>
  </si>
  <si>
    <t xml:space="preserve">Freely water-soluble; 6–10 g/100 mL = 60–100 mg/mL, below ~1000 mg/mL solubility.</t>
  </si>
  <si>
    <t xml:space="preserve">Reducing sugar; browning risk rises with amino acids, vitamin C, warmth, time.</t>
  </si>
  <si>
    <t xml:space="preserve">Conflicts with free amino groups in citrulline/taurine/beta-alanine and with ascorbate/B vitamins. Keep cool/acidic or separate/make-fresh.</t>
  </si>
  <si>
    <t xml:space="preserve">FLAG: okay in trio, risky in full stored formula.</t>
  </si>
  <si>
    <t xml:space="preserve">L-carnitine L-tartrate</t>
  </si>
  <si>
    <t xml:space="preserve">Very soluble; 1–2 g/100 mL = 10–20 mg/mL, &gt;50x headroom.</t>
  </si>
  <si>
    <t xml:space="preserve">Stable at pH ~3–6; not redox-labile; hygroscopic dry.</t>
  </si>
  <si>
    <t xml:space="preserve">Low Maillard risk because quaternary amine. Avoid high Ca due calcium tartrate precipitation. Acute benefit overclaimed; chronic preload stronger.</t>
  </si>
  <si>
    <t xml:space="preserve">OK chemically; efficacy best as preload. Use 1.0–1.5 g/100 mL if kept in liquid.</t>
  </si>
  <si>
    <t xml:space="preserve">Full current matrix</t>
  </si>
  <si>
    <t xml:space="preserve">Individual solubility mostly okay, but water volume is limited by 30–40% oil, emulsifiers, gums, and ~23–26 g solids/100 mL.</t>
  </si>
  <si>
    <t xml:space="preserve">Stored aqueous reducing sugar + amines + ascorbate/B12 is the main shelf-life weakness.</t>
  </si>
  <si>
    <t xml:space="preserve">Many amines + ribose; citrate/alkali load; possible viscosity/emulsion issues.</t>
  </si>
  <si>
    <t xml:space="preserve">NO-GO as final shelf-stable claim without pH, preservative, centrifuge, heat/cool, and assay data.</t>
  </si>
  <si>
    <t xml:space="preserve">Working recommendation</t>
  </si>
  <si>
    <t xml:space="preserve">Best first pilot proportion per 100 mL: MCT oil 25 mL + D-ribose 8 g + L-carnitine L-tartrate 1.25 g.</t>
  </si>
  <si>
    <t xml:space="preserve">Acceptable operating range: MCT 20–30 mL, ribose 6–8 g, LCLT 1.0–1.5 g per 100 mL.</t>
  </si>
  <si>
    <t xml:space="preserve">Do not treat LCLT as a direct MCT transporter; MCT is already rapidly oxidized. LCLT is mainly chronic fat-oxidation/cardiopulmonary support.</t>
  </si>
  <si>
    <t xml:space="preserve">If this is meant to be shelf-stable, split ribose away from amino acids/ascorbate/B12 or require real stability testing.</t>
  </si>
  <si>
    <t xml:space="preserve">Before scaling: measure pH, 24h/7d separation, centrifuge stress, viscosity through syringe, microbial/preservative effectiveness, and color/browning.</t>
  </si>
  <si>
    <t xml:space="preserve">Topic</t>
  </si>
  <si>
    <t xml:space="preserve">Source</t>
  </si>
  <si>
    <t xml:space="preserve">Workbook inspected</t>
  </si>
  <si>
    <t xml:space="preserve">/Users/arsapolm/Documents/my-projects/gaiteva/MCT oil 40% Oral Solution.xlsx</t>
  </si>
  <si>
    <t xml:space="preserve">Project dossier</t>
  </si>
  <si>
    <t xml:space="preserve">omx_wiki/substance-d-ribose.md</t>
  </si>
  <si>
    <t xml:space="preserve">omx_wiki/substance-l-carnitine-l-tartrate-lclt.md</t>
  </si>
  <si>
    <t xml:space="preserve">omx_wiki/substance-taurine.md</t>
  </si>
  <si>
    <t xml:space="preserve">L-carnitine poultry 2025</t>
  </si>
  <si>
    <t xml:space="preserve">https://link.springer.com/article/10.1186/s12917-025-04813-w</t>
  </si>
  <si>
    <t xml:space="preserve">MCT review/search evidence</t>
  </si>
  <si>
    <t xml:space="preserve">https://pmc.ncbi.nlm.nih.gov/articles/PMC13075030/</t>
  </si>
  <si>
    <t xml:space="preserve">Maillard review</t>
  </si>
  <si>
    <t xml:space="preserve">https://www.mdpi.com/2304-8158/14/11/1881</t>
  </si>
  <si>
    <t xml:space="preserve">D-ribose identity</t>
  </si>
  <si>
    <t xml:space="preserve">https://webbook.nist.gov/cgi/inchi?ID=C50691&amp;Mask=8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</si>
</sst>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/>
      <c r="E4" s="2" t="s">
        <v>5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n">
        <v>80</v>
      </c>
      <c r="D5" s="2"/>
      <c r="E5" s="2" t="s">
        <v>8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n">
        <v>12</v>
      </c>
      <c r="D6" s="2"/>
      <c r="E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  <c r="C7" s="2" t="n">
        <v>6</v>
      </c>
      <c r="D7" s="2"/>
      <c r="E7" s="2" t="s">
        <v>14</v>
      </c>
    </row>
    <row r="8" customFormat="false" ht="15" hidden="false" customHeight="false" outlineLevel="0" collapsed="false">
      <c r="A8" s="2" t="s">
        <v>15</v>
      </c>
      <c r="B8" s="2"/>
      <c r="C8" s="2" t="n">
        <v>6</v>
      </c>
      <c r="D8" s="2"/>
      <c r="E8" s="2"/>
    </row>
    <row r="9" customFormat="false" ht="15" hidden="false" customHeight="false" outlineLevel="0" collapsed="false">
      <c r="A9" s="2" t="s">
        <v>16</v>
      </c>
      <c r="B9" s="2" t="s">
        <v>13</v>
      </c>
      <c r="C9" s="2" t="n">
        <v>6</v>
      </c>
      <c r="D9" s="2"/>
      <c r="E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  <c r="C10" s="2" t="n">
        <v>4</v>
      </c>
      <c r="D10" s="2"/>
      <c r="E10" s="2" t="s">
        <v>20</v>
      </c>
    </row>
    <row r="11" customFormat="false" ht="15" hidden="false" customHeight="false" outlineLevel="0" collapsed="false">
      <c r="A11" s="2" t="s">
        <v>21</v>
      </c>
      <c r="B11" s="2" t="s">
        <v>22</v>
      </c>
      <c r="C11" s="2" t="n">
        <v>5</v>
      </c>
      <c r="D11" s="2"/>
      <c r="E11" s="2" t="s">
        <v>23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n">
        <v>1.6</v>
      </c>
      <c r="D12" s="2"/>
      <c r="E12" s="2" t="s">
        <v>26</v>
      </c>
    </row>
    <row r="13" customFormat="false" ht="15" hidden="false" customHeight="false" outlineLevel="0" collapsed="false">
      <c r="A13" s="2" t="s">
        <v>27</v>
      </c>
      <c r="B13" s="2" t="s">
        <v>25</v>
      </c>
      <c r="C13" s="2" t="n">
        <v>1.6</v>
      </c>
      <c r="D13" s="2"/>
      <c r="E13" s="2" t="s">
        <v>28</v>
      </c>
    </row>
    <row r="14" customFormat="false" ht="15" hidden="false" customHeight="false" outlineLevel="0" collapsed="false">
      <c r="A14" s="2" t="s">
        <v>29</v>
      </c>
      <c r="B14" s="2" t="s">
        <v>25</v>
      </c>
      <c r="C14" s="2" t="n">
        <v>1.6</v>
      </c>
      <c r="D14" s="2"/>
      <c r="E14" s="2" t="s">
        <v>30</v>
      </c>
    </row>
    <row r="15" customFormat="false" ht="15" hidden="false" customHeight="false" outlineLevel="0" collapsed="false">
      <c r="A15" s="2" t="s">
        <v>31</v>
      </c>
      <c r="B15" s="2" t="s">
        <v>32</v>
      </c>
      <c r="C15" s="2" t="n">
        <v>3</v>
      </c>
      <c r="D15" s="2"/>
      <c r="E15" s="2" t="s">
        <v>33</v>
      </c>
    </row>
    <row r="16" customFormat="false" ht="15" hidden="false" customHeight="false" outlineLevel="0" collapsed="false">
      <c r="A16" s="2" t="s">
        <v>34</v>
      </c>
      <c r="B16" s="2"/>
      <c r="C16" s="2" t="n">
        <v>1</v>
      </c>
      <c r="D16" s="2"/>
      <c r="E16" s="2" t="s">
        <v>35</v>
      </c>
    </row>
    <row r="17" customFormat="false" ht="15" hidden="false" customHeight="false" outlineLevel="0" collapsed="false">
      <c r="A17" s="2" t="s">
        <v>36</v>
      </c>
      <c r="B17" s="2" t="s">
        <v>37</v>
      </c>
      <c r="C17" s="2" t="n">
        <v>6</v>
      </c>
      <c r="D17" s="2"/>
      <c r="E17" s="2" t="s">
        <v>38</v>
      </c>
    </row>
    <row r="18" customFormat="false" ht="15" hidden="false" customHeight="false" outlineLevel="0" collapsed="false">
      <c r="A18" s="2" t="s">
        <v>39</v>
      </c>
      <c r="B18" s="2" t="s">
        <v>40</v>
      </c>
      <c r="C18" s="2" t="n">
        <v>0.8</v>
      </c>
      <c r="D18" s="2"/>
      <c r="E18" s="2" t="s">
        <v>41</v>
      </c>
    </row>
    <row r="19" customFormat="false" ht="15" hidden="false" customHeight="false" outlineLevel="0" collapsed="false">
      <c r="A19" s="2" t="s">
        <v>42</v>
      </c>
      <c r="B19" s="2" t="s">
        <v>40</v>
      </c>
      <c r="C19" s="2" t="n">
        <v>0.2</v>
      </c>
      <c r="D19" s="2"/>
      <c r="E19" s="2" t="s">
        <v>43</v>
      </c>
    </row>
    <row r="20" customFormat="false" ht="15" hidden="false" customHeight="false" outlineLevel="0" collapsed="false">
      <c r="A20" s="2" t="s">
        <v>44</v>
      </c>
      <c r="B20" s="2"/>
      <c r="C20" s="2" t="n">
        <v>4</v>
      </c>
      <c r="D20" s="2"/>
      <c r="E20" s="2" t="s">
        <v>45</v>
      </c>
    </row>
    <row r="21" customFormat="false" ht="15" hidden="false" customHeight="false" outlineLevel="0" collapsed="false">
      <c r="A21" s="2" t="s">
        <v>46</v>
      </c>
      <c r="B21" s="2"/>
      <c r="C21" s="2" t="n">
        <v>10</v>
      </c>
      <c r="D21" s="2"/>
      <c r="E21" s="2"/>
    </row>
    <row r="22" customFormat="false" ht="15" hidden="false" customHeight="false" outlineLevel="0" collapsed="false">
      <c r="A22" s="2" t="s">
        <v>47</v>
      </c>
      <c r="B22" s="2"/>
      <c r="C22" s="2" t="n">
        <v>2.5</v>
      </c>
      <c r="D22" s="2"/>
      <c r="E22" s="2" t="s">
        <v>48</v>
      </c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3" t="s">
        <v>49</v>
      </c>
      <c r="B25" s="2"/>
      <c r="C25" s="2"/>
      <c r="D25" s="2"/>
      <c r="E25" s="2"/>
    </row>
    <row r="26" customFormat="false" ht="15" hidden="false" customHeight="false" outlineLevel="0" collapsed="false">
      <c r="A26" s="2" t="s">
        <v>2</v>
      </c>
      <c r="B26" s="2" t="s">
        <v>3</v>
      </c>
      <c r="C26" s="2" t="s">
        <v>50</v>
      </c>
      <c r="D26" s="2"/>
      <c r="E26" s="2"/>
    </row>
    <row r="27" customFormat="false" ht="15" hidden="false" customHeight="false" outlineLevel="0" collapsed="false">
      <c r="A27" s="2" t="s">
        <v>6</v>
      </c>
      <c r="B27" s="2" t="s">
        <v>51</v>
      </c>
      <c r="C27" s="2" t="s">
        <v>52</v>
      </c>
      <c r="D27" s="2"/>
      <c r="E27" s="2"/>
    </row>
    <row r="28" customFormat="false" ht="15" hidden="false" customHeight="false" outlineLevel="0" collapsed="false">
      <c r="A28" s="2" t="s">
        <v>9</v>
      </c>
      <c r="B28" s="2" t="s">
        <v>53</v>
      </c>
      <c r="C28" s="2" t="s">
        <v>54</v>
      </c>
      <c r="D28" s="2"/>
      <c r="E28" s="2"/>
    </row>
    <row r="29" customFormat="false" ht="15" hidden="false" customHeight="false" outlineLevel="0" collapsed="false">
      <c r="A29" s="2" t="s">
        <v>12</v>
      </c>
      <c r="B29" s="2" t="s">
        <v>13</v>
      </c>
      <c r="C29" s="2" t="s">
        <v>55</v>
      </c>
      <c r="D29" s="2"/>
      <c r="E29" s="2"/>
    </row>
    <row r="30" customFormat="false" ht="15" hidden="false" customHeight="false" outlineLevel="0" collapsed="false">
      <c r="A30" s="2" t="s">
        <v>16</v>
      </c>
      <c r="B30" s="2" t="s">
        <v>13</v>
      </c>
      <c r="C30" s="2" t="s">
        <v>56</v>
      </c>
      <c r="D30" s="2"/>
      <c r="E30" s="2"/>
    </row>
    <row r="31" customFormat="false" ht="15" hidden="false" customHeight="false" outlineLevel="0" collapsed="false">
      <c r="A31" s="2" t="s">
        <v>18</v>
      </c>
      <c r="B31" s="2" t="s">
        <v>19</v>
      </c>
      <c r="C31" s="2" t="s">
        <v>57</v>
      </c>
      <c r="D31" s="2"/>
      <c r="E31" s="2"/>
    </row>
    <row r="32" customFormat="false" ht="15" hidden="false" customHeight="false" outlineLevel="0" collapsed="false">
      <c r="A32" s="2" t="s">
        <v>21</v>
      </c>
      <c r="B32" s="2" t="s">
        <v>22</v>
      </c>
      <c r="C32" s="2" t="s">
        <v>58</v>
      </c>
      <c r="D32" s="2"/>
      <c r="E32" s="2"/>
    </row>
    <row r="33" customFormat="false" ht="15" hidden="false" customHeight="false" outlineLevel="0" collapsed="false">
      <c r="A33" s="2" t="s">
        <v>24</v>
      </c>
      <c r="B33" s="2" t="s">
        <v>25</v>
      </c>
      <c r="C33" s="2" t="s">
        <v>59</v>
      </c>
      <c r="D33" s="2"/>
      <c r="E33" s="2"/>
    </row>
    <row r="34" customFormat="false" ht="15" hidden="false" customHeight="false" outlineLevel="0" collapsed="false">
      <c r="A34" s="2" t="s">
        <v>27</v>
      </c>
      <c r="B34" s="2" t="s">
        <v>25</v>
      </c>
      <c r="C34" s="2" t="s">
        <v>60</v>
      </c>
      <c r="D34" s="2"/>
      <c r="E34" s="2"/>
    </row>
    <row r="35" customFormat="false" ht="15" hidden="false" customHeight="false" outlineLevel="0" collapsed="false">
      <c r="A35" s="2" t="s">
        <v>29</v>
      </c>
      <c r="B35" s="2" t="s">
        <v>25</v>
      </c>
      <c r="C35" s="2" t="s">
        <v>61</v>
      </c>
      <c r="D35" s="2"/>
      <c r="E35" s="2"/>
    </row>
    <row r="36" customFormat="false" ht="15" hidden="false" customHeight="false" outlineLevel="0" collapsed="false">
      <c r="A36" s="2" t="s">
        <v>31</v>
      </c>
      <c r="B36" s="2" t="s">
        <v>32</v>
      </c>
      <c r="C36" s="2" t="s">
        <v>62</v>
      </c>
      <c r="D36" s="2"/>
      <c r="E36" s="2"/>
    </row>
    <row r="37" customFormat="false" ht="15" hidden="false" customHeight="false" outlineLevel="0" collapsed="false">
      <c r="A37" s="2" t="s">
        <v>63</v>
      </c>
      <c r="B37" s="2" t="s">
        <v>64</v>
      </c>
      <c r="C37" s="2" t="s">
        <v>65</v>
      </c>
      <c r="D37" s="2"/>
      <c r="E37" s="2"/>
    </row>
    <row r="38" customFormat="false" ht="15" hidden="false" customHeight="false" outlineLevel="0" collapsed="false">
      <c r="A38" s="2" t="s">
        <v>36</v>
      </c>
      <c r="B38" s="2" t="s">
        <v>37</v>
      </c>
      <c r="C38" s="2" t="s">
        <v>66</v>
      </c>
      <c r="D38" s="2"/>
      <c r="E38" s="2"/>
    </row>
    <row r="39" customFormat="false" ht="15" hidden="false" customHeight="false" outlineLevel="0" collapsed="false">
      <c r="A39" s="2" t="s">
        <v>39</v>
      </c>
      <c r="B39" s="2" t="s">
        <v>40</v>
      </c>
      <c r="C39" s="2" t="s">
        <v>67</v>
      </c>
      <c r="D39" s="2"/>
      <c r="E39" s="2"/>
    </row>
    <row r="40" customFormat="false" ht="15" hidden="false" customHeight="false" outlineLevel="0" collapsed="false">
      <c r="A40" s="2" t="s">
        <v>42</v>
      </c>
      <c r="B40" s="2" t="s">
        <v>40</v>
      </c>
      <c r="C40" s="2" t="s">
        <v>68</v>
      </c>
      <c r="D40" s="2"/>
      <c r="E40" s="2"/>
    </row>
    <row r="41" customFormat="false" ht="15" hidden="false" customHeight="false" outlineLevel="0" collapsed="false">
      <c r="A41" s="2" t="s">
        <v>69</v>
      </c>
      <c r="B41" s="2" t="s">
        <v>70</v>
      </c>
      <c r="C41" s="2" t="s">
        <v>71</v>
      </c>
      <c r="D41" s="2"/>
      <c r="E41" s="2"/>
    </row>
    <row r="42" customFormat="false" ht="15" hidden="false" customHeight="false" outlineLevel="0" collapsed="false">
      <c r="A42" s="2" t="s">
        <v>72</v>
      </c>
      <c r="B42" s="2" t="s">
        <v>73</v>
      </c>
      <c r="C42" s="2" t="s">
        <v>74</v>
      </c>
      <c r="D42" s="2"/>
      <c r="E42" s="2"/>
    </row>
    <row r="43" customFormat="false" ht="15" hidden="false" customHeight="false" outlineLevel="0" collapsed="false">
      <c r="A43" s="2" t="s">
        <v>75</v>
      </c>
      <c r="B43" s="2" t="s">
        <v>76</v>
      </c>
      <c r="C43" s="2" t="s">
        <v>77</v>
      </c>
      <c r="D43" s="2"/>
      <c r="E43" s="2"/>
    </row>
    <row r="44" customFormat="false" ht="15" hidden="false" customHeight="false" outlineLevel="0" collapsed="false">
      <c r="A44" s="2" t="s">
        <v>78</v>
      </c>
      <c r="B44" s="2" t="s">
        <v>79</v>
      </c>
      <c r="C44" s="2" t="s">
        <v>80</v>
      </c>
      <c r="D44" s="2"/>
      <c r="E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18"/>
    <col collapsed="false" customWidth="true" hidden="false" outlineLevel="0" max="15" min="15" style="0" width="50"/>
  </cols>
  <sheetData>
    <row r="1" customFormat="false" ht="26.85" hidden="false" customHeight="false" outlineLevel="0" collapsed="false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  <c r="L1" s="4" t="s">
        <v>92</v>
      </c>
      <c r="M1" s="4" t="s">
        <v>93</v>
      </c>
      <c r="N1" s="4" t="s">
        <v>94</v>
      </c>
      <c r="O1" s="4" t="s">
        <v>95</v>
      </c>
    </row>
    <row r="2" customFormat="false" ht="26.85" hidden="false" customHeight="false" outlineLevel="0" collapsed="false">
      <c r="A2" s="5" t="s">
        <v>96</v>
      </c>
      <c r="B2" s="5" t="n">
        <v>40</v>
      </c>
      <c r="C2" s="5" t="n">
        <v>6</v>
      </c>
      <c r="D2" s="5" t="n">
        <v>2</v>
      </c>
      <c r="E2" s="6" t="n">
        <f aca="false">B2/100</f>
        <v>0.4</v>
      </c>
      <c r="F2" s="7" t="n">
        <f aca="false">C2*1000/100</f>
        <v>60</v>
      </c>
      <c r="G2" s="7" t="n">
        <f aca="false">D2*1000/100</f>
        <v>20</v>
      </c>
      <c r="H2" s="5" t="n">
        <f aca="false">Assumptions!B2</f>
        <v>5</v>
      </c>
      <c r="I2" s="7" t="n">
        <f aca="false">B2*H2/100</f>
        <v>2</v>
      </c>
      <c r="J2" s="7" t="n">
        <f aca="false">I2*Assumptions!B3</f>
        <v>16.6</v>
      </c>
      <c r="K2" s="7" t="n">
        <f aca="false">C2*1000*H2/100</f>
        <v>300</v>
      </c>
      <c r="L2" s="7" t="n">
        <f aca="false">D2*1000*H2/100</f>
        <v>100</v>
      </c>
      <c r="M2" s="7" t="n">
        <f aca="false">L2*Assumptions!B4</f>
        <v>68</v>
      </c>
      <c r="N2" s="5" t="str">
        <f aca="false">TEXT(B2,"0")&amp;" mL : "&amp;TEXT(C2,"0.0")&amp;" g : "&amp;TEXT(D2,"0.00")&amp;" g"</f>
        <v>40 mL : 6.0 g : 2.00 g</v>
      </c>
      <c r="O2" s="5" t="s">
        <v>97</v>
      </c>
    </row>
    <row r="3" customFormat="false" ht="26.85" hidden="false" customHeight="false" outlineLevel="0" collapsed="false">
      <c r="A3" s="5" t="s">
        <v>98</v>
      </c>
      <c r="B3" s="5" t="n">
        <v>30</v>
      </c>
      <c r="C3" s="5" t="n">
        <v>10</v>
      </c>
      <c r="D3" s="5" t="n">
        <v>2</v>
      </c>
      <c r="E3" s="6" t="n">
        <f aca="false">B3/100</f>
        <v>0.3</v>
      </c>
      <c r="F3" s="7" t="n">
        <f aca="false">C3*1000/100</f>
        <v>100</v>
      </c>
      <c r="G3" s="7" t="n">
        <f aca="false">D3*1000/100</f>
        <v>20</v>
      </c>
      <c r="H3" s="5" t="n">
        <f aca="false">Assumptions!B2</f>
        <v>5</v>
      </c>
      <c r="I3" s="7" t="n">
        <f aca="false">B3*H3/100</f>
        <v>1.5</v>
      </c>
      <c r="J3" s="7" t="n">
        <f aca="false">I3*Assumptions!B3</f>
        <v>12.45</v>
      </c>
      <c r="K3" s="7" t="n">
        <f aca="false">C3*1000*H3/100</f>
        <v>500</v>
      </c>
      <c r="L3" s="7" t="n">
        <f aca="false">D3*1000*H3/100</f>
        <v>100</v>
      </c>
      <c r="M3" s="7" t="n">
        <f aca="false">L3*Assumptions!B4</f>
        <v>68</v>
      </c>
      <c r="N3" s="5" t="str">
        <f aca="false">TEXT(B3,"0")&amp;" mL : "&amp;TEXT(C3,"0.0")&amp;" g : "&amp;TEXT(D3,"0.00")&amp;" g"</f>
        <v>30 mL : 10.0 g : 2.00 g</v>
      </c>
      <c r="O3" s="5" t="s">
        <v>99</v>
      </c>
    </row>
    <row r="4" customFormat="false" ht="26.85" hidden="false" customHeight="false" outlineLevel="0" collapsed="false">
      <c r="A4" s="5" t="s">
        <v>100</v>
      </c>
      <c r="B4" s="5" t="n">
        <v>25</v>
      </c>
      <c r="C4" s="5" t="n">
        <v>8</v>
      </c>
      <c r="D4" s="5" t="n">
        <v>1.25</v>
      </c>
      <c r="E4" s="6" t="n">
        <f aca="false">B4/100</f>
        <v>0.25</v>
      </c>
      <c r="F4" s="7" t="n">
        <f aca="false">C4*1000/100</f>
        <v>80</v>
      </c>
      <c r="G4" s="7" t="n">
        <f aca="false">D4*1000/100</f>
        <v>12.5</v>
      </c>
      <c r="H4" s="5" t="n">
        <f aca="false">Assumptions!B2</f>
        <v>5</v>
      </c>
      <c r="I4" s="7" t="n">
        <f aca="false">B4*H4/100</f>
        <v>1.25</v>
      </c>
      <c r="J4" s="7" t="n">
        <f aca="false">I4*Assumptions!B3</f>
        <v>10.375</v>
      </c>
      <c r="K4" s="7" t="n">
        <f aca="false">C4*1000*H4/100</f>
        <v>400</v>
      </c>
      <c r="L4" s="7" t="n">
        <f aca="false">D4*1000*H4/100</f>
        <v>62.5</v>
      </c>
      <c r="M4" s="7" t="n">
        <f aca="false">L4*Assumptions!B4</f>
        <v>42.5</v>
      </c>
      <c r="N4" s="5" t="str">
        <f aca="false">TEXT(B4,"0")&amp;" mL : "&amp;TEXT(C4,"0.0")&amp;" g : "&amp;TEXT(D4,"0.00")&amp;" g"</f>
        <v>25 mL : 8.0 g : 1.25 g</v>
      </c>
      <c r="O4" s="5" t="s">
        <v>101</v>
      </c>
    </row>
    <row r="5" customFormat="false" ht="26.85" hidden="false" customHeight="false" outlineLevel="0" collapsed="false">
      <c r="A5" s="5" t="s">
        <v>102</v>
      </c>
      <c r="B5" s="5" t="n">
        <v>20</v>
      </c>
      <c r="C5" s="5" t="n">
        <v>6</v>
      </c>
      <c r="D5" s="5" t="n">
        <v>1</v>
      </c>
      <c r="E5" s="6" t="n">
        <f aca="false">B5/100</f>
        <v>0.2</v>
      </c>
      <c r="F5" s="7" t="n">
        <f aca="false">C5*1000/100</f>
        <v>60</v>
      </c>
      <c r="G5" s="7" t="n">
        <f aca="false">D5*1000/100</f>
        <v>10</v>
      </c>
      <c r="H5" s="5" t="n">
        <f aca="false">Assumptions!B2</f>
        <v>5</v>
      </c>
      <c r="I5" s="7" t="n">
        <f aca="false">B5*H5/100</f>
        <v>1</v>
      </c>
      <c r="J5" s="7" t="n">
        <f aca="false">I5*Assumptions!B3</f>
        <v>8.3</v>
      </c>
      <c r="K5" s="7" t="n">
        <f aca="false">C5*1000*H5/100</f>
        <v>300</v>
      </c>
      <c r="L5" s="7" t="n">
        <f aca="false">D5*1000*H5/100</f>
        <v>50</v>
      </c>
      <c r="M5" s="7" t="n">
        <f aca="false">L5*Assumptions!B4</f>
        <v>34</v>
      </c>
      <c r="N5" s="5" t="str">
        <f aca="false">TEXT(B5,"0")&amp;" mL : "&amp;TEXT(C5,"0.0")&amp;" g : "&amp;TEXT(D5,"0.00")&amp;" g"</f>
        <v>20 mL : 6.0 g : 1.00 g</v>
      </c>
      <c r="O5" s="5" t="s">
        <v>103</v>
      </c>
    </row>
    <row r="6" customFormat="false" ht="26.85" hidden="false" customHeight="false" outlineLevel="0" collapsed="false">
      <c r="A6" s="5" t="s">
        <v>104</v>
      </c>
      <c r="B6" s="5" t="n">
        <v>30</v>
      </c>
      <c r="C6" s="5" t="n">
        <v>8</v>
      </c>
      <c r="D6" s="5" t="n">
        <v>1.5</v>
      </c>
      <c r="E6" s="6" t="n">
        <f aca="false">B6/100</f>
        <v>0.3</v>
      </c>
      <c r="F6" s="7" t="n">
        <f aca="false">C6*1000/100</f>
        <v>80</v>
      </c>
      <c r="G6" s="7" t="n">
        <f aca="false">D6*1000/100</f>
        <v>15</v>
      </c>
      <c r="H6" s="5" t="n">
        <f aca="false">Assumptions!B2</f>
        <v>5</v>
      </c>
      <c r="I6" s="7" t="n">
        <f aca="false">B6*H6/100</f>
        <v>1.5</v>
      </c>
      <c r="J6" s="7" t="n">
        <f aca="false">I6*Assumptions!B3</f>
        <v>12.45</v>
      </c>
      <c r="K6" s="7" t="n">
        <f aca="false">C6*1000*H6/100</f>
        <v>400</v>
      </c>
      <c r="L6" s="7" t="n">
        <f aca="false">D6*1000*H6/100</f>
        <v>75</v>
      </c>
      <c r="M6" s="7" t="n">
        <f aca="false">L6*Assumptions!B4</f>
        <v>51</v>
      </c>
      <c r="N6" s="5" t="str">
        <f aca="false">TEXT(B6,"0")&amp;" mL : "&amp;TEXT(C6,"0.0")&amp;" g : "&amp;TEXT(D6,"0.00")&amp;" g"</f>
        <v>30 mL : 8.0 g : 1.50 g</v>
      </c>
      <c r="O6" s="5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8" t="s">
        <v>106</v>
      </c>
      <c r="B1" s="8" t="s">
        <v>107</v>
      </c>
      <c r="C1" s="8" t="s">
        <v>108</v>
      </c>
    </row>
    <row r="2" customFormat="false" ht="15" hidden="false" customHeight="false" outlineLevel="0" collapsed="false">
      <c r="A2" s="5" t="s">
        <v>109</v>
      </c>
      <c r="B2" s="5" t="n">
        <v>5</v>
      </c>
      <c r="C2" s="5" t="s">
        <v>110</v>
      </c>
    </row>
    <row r="3" customFormat="false" ht="15" hidden="false" customHeight="false" outlineLevel="0" collapsed="false">
      <c r="A3" s="5" t="s">
        <v>111</v>
      </c>
      <c r="B3" s="5" t="n">
        <v>8.3</v>
      </c>
      <c r="C3" s="5" t="s">
        <v>112</v>
      </c>
    </row>
    <row r="4" customFormat="false" ht="15" hidden="false" customHeight="false" outlineLevel="0" collapsed="false">
      <c r="A4" s="5" t="s">
        <v>113</v>
      </c>
      <c r="B4" s="5" t="n">
        <v>0.68</v>
      </c>
      <c r="C4" s="5" t="s">
        <v>114</v>
      </c>
    </row>
    <row r="5" customFormat="false" ht="15" hidden="false" customHeight="false" outlineLevel="0" collapsed="false">
      <c r="A5" s="5" t="s">
        <v>115</v>
      </c>
      <c r="B5" s="5" t="n">
        <v>1000</v>
      </c>
      <c r="C5" s="5" t="s">
        <v>116</v>
      </c>
    </row>
    <row r="6" customFormat="false" ht="15" hidden="false" customHeight="false" outlineLevel="0" collapsed="false">
      <c r="A6" s="5" t="s">
        <v>117</v>
      </c>
      <c r="B6" s="5" t="n">
        <v>1000</v>
      </c>
      <c r="C6" s="5" t="s">
        <v>118</v>
      </c>
    </row>
    <row r="7" customFormat="false" ht="26.85" hidden="false" customHeight="false" outlineLevel="0" collapsed="false">
      <c r="A7" s="5" t="s">
        <v>119</v>
      </c>
      <c r="B7" s="5" t="n">
        <v>62.5</v>
      </c>
      <c r="C7" s="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2"/>
    <col collapsed="false" customWidth="true" hidden="false" outlineLevel="0" max="4" min="4" style="0" width="5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9" t="s">
        <v>121</v>
      </c>
      <c r="B1" s="9" t="s">
        <v>122</v>
      </c>
      <c r="C1" s="9" t="s">
        <v>123</v>
      </c>
      <c r="D1" s="9" t="s">
        <v>124</v>
      </c>
      <c r="E1" s="9" t="s">
        <v>125</v>
      </c>
    </row>
    <row r="2" customFormat="false" ht="52.2" hidden="false" customHeight="false" outlineLevel="0" collapsed="false">
      <c r="A2" s="5" t="s">
        <v>126</v>
      </c>
      <c r="B2" s="5" t="s">
        <v>127</v>
      </c>
      <c r="C2" s="5" t="s">
        <v>128</v>
      </c>
      <c r="D2" s="5" t="s">
        <v>129</v>
      </c>
      <c r="E2" s="5" t="s">
        <v>130</v>
      </c>
    </row>
    <row r="3" customFormat="false" ht="39.55" hidden="false" customHeight="false" outlineLevel="0" collapsed="false">
      <c r="A3" s="5" t="s">
        <v>131</v>
      </c>
      <c r="B3" s="5" t="s">
        <v>132</v>
      </c>
      <c r="C3" s="5" t="s">
        <v>133</v>
      </c>
      <c r="D3" s="5" t="s">
        <v>134</v>
      </c>
      <c r="E3" s="5" t="s">
        <v>135</v>
      </c>
    </row>
    <row r="4" customFormat="false" ht="39.55" hidden="false" customHeight="false" outlineLevel="0" collapsed="false">
      <c r="A4" s="5" t="s">
        <v>136</v>
      </c>
      <c r="B4" s="5" t="s">
        <v>137</v>
      </c>
      <c r="C4" s="5" t="s">
        <v>138</v>
      </c>
      <c r="D4" s="5" t="s">
        <v>139</v>
      </c>
      <c r="E4" s="5" t="s">
        <v>140</v>
      </c>
    </row>
    <row r="5" customFormat="false" ht="52.2" hidden="false" customHeight="false" outlineLevel="0" collapsed="false">
      <c r="A5" s="5" t="s">
        <v>141</v>
      </c>
      <c r="B5" s="5" t="s">
        <v>142</v>
      </c>
      <c r="C5" s="5" t="s">
        <v>143</v>
      </c>
      <c r="D5" s="5" t="s">
        <v>144</v>
      </c>
      <c r="E5" s="5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0" t="s">
        <v>146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147</v>
      </c>
    </row>
    <row r="4" customFormat="false" ht="15" hidden="false" customHeight="false" outlineLevel="0" collapsed="false">
      <c r="A4" s="5" t="s">
        <v>148</v>
      </c>
    </row>
    <row r="5" customFormat="false" ht="26.85" hidden="false" customHeight="false" outlineLevel="0" collapsed="false">
      <c r="A5" s="5" t="s">
        <v>149</v>
      </c>
    </row>
    <row r="6" customFormat="false" ht="15" hidden="false" customHeight="false" outlineLevel="0" collapsed="false">
      <c r="A6" s="5" t="s">
        <v>150</v>
      </c>
    </row>
    <row r="7" customFormat="false" ht="26.85" hidden="false" customHeight="false" outlineLevel="0" collapsed="false">
      <c r="A7" s="5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152</v>
      </c>
      <c r="B1" s="11" t="s">
        <v>153</v>
      </c>
    </row>
    <row r="2" customFormat="false" ht="15" hidden="false" customHeight="false" outlineLevel="0" collapsed="false">
      <c r="A2" s="5" t="s">
        <v>154</v>
      </c>
      <c r="B2" s="5" t="s">
        <v>155</v>
      </c>
    </row>
    <row r="3" customFormat="false" ht="15" hidden="false" customHeight="false" outlineLevel="0" collapsed="false">
      <c r="A3" s="5" t="s">
        <v>156</v>
      </c>
      <c r="B3" s="5" t="s">
        <v>157</v>
      </c>
    </row>
    <row r="4" customFormat="false" ht="15" hidden="false" customHeight="false" outlineLevel="0" collapsed="false">
      <c r="A4" s="5" t="s">
        <v>156</v>
      </c>
      <c r="B4" s="5" t="s">
        <v>158</v>
      </c>
    </row>
    <row r="5" customFormat="false" ht="15" hidden="false" customHeight="false" outlineLevel="0" collapsed="false">
      <c r="A5" s="5" t="s">
        <v>156</v>
      </c>
      <c r="B5" s="5" t="s">
        <v>159</v>
      </c>
    </row>
    <row r="6" customFormat="false" ht="15" hidden="false" customHeight="false" outlineLevel="0" collapsed="false">
      <c r="A6" s="5" t="s">
        <v>160</v>
      </c>
      <c r="B6" s="5" t="s">
        <v>161</v>
      </c>
    </row>
    <row r="7" customFormat="false" ht="15" hidden="false" customHeight="false" outlineLevel="0" collapsed="false">
      <c r="A7" s="5" t="s">
        <v>162</v>
      </c>
      <c r="B7" s="5" t="s">
        <v>163</v>
      </c>
    </row>
    <row r="8" customFormat="false" ht="15" hidden="false" customHeight="false" outlineLevel="0" collapsed="false">
      <c r="A8" s="5" t="s">
        <v>164</v>
      </c>
      <c r="B8" s="5" t="s">
        <v>165</v>
      </c>
    </row>
    <row r="9" customFormat="false" ht="15" hidden="false" customHeight="false" outlineLevel="0" collapsed="false">
      <c r="A9" s="5" t="s">
        <v>166</v>
      </c>
      <c r="B9" s="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2026-06-16T15:46:14Z</dcterms:created>
  <dc:creator>openpyxl</dc:creator>
  <dc:description/>
  <dc:language>en-US</dc:language>
  <cp:lastModifiedBy/>
  <dcterms:modified xsi:type="dcterms:W3CDTF">2026-06-16T15:46:14Z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